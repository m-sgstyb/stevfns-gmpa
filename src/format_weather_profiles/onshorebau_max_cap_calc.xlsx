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orie4253/Documents/MOYA Analytics/GMPA/STEVFNs/Code/format_weather_profiles/"/>
    </mc:Choice>
  </mc:AlternateContent>
  <xr:revisionPtr revIDLastSave="0" documentId="13_ncr:1_{3480195D-C7CB-4045-8F12-BA48107C66D3}" xr6:coauthVersionLast="47" xr6:coauthVersionMax="47" xr10:uidLastSave="{00000000-0000-0000-0000-000000000000}"/>
  <bookViews>
    <workbookView xWindow="0" yWindow="740" windowWidth="27640" windowHeight="16760" xr2:uid="{0A39901E-EE16-E845-B782-0D9319A9913F}"/>
  </bookViews>
  <sheets>
    <sheet name="onshorebau_max_c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L5" i="1" s="1"/>
  <c r="P6" i="1"/>
  <c r="L6" i="1" s="1"/>
  <c r="P7" i="1"/>
  <c r="L7" i="1" s="1"/>
  <c r="P8" i="1"/>
  <c r="L8" i="1" s="1"/>
  <c r="P9" i="1"/>
  <c r="L9" i="1" s="1"/>
  <c r="K9" i="1" s="1"/>
  <c r="P10" i="1"/>
  <c r="L10" i="1" s="1"/>
  <c r="P11" i="1"/>
  <c r="P12" i="1"/>
  <c r="L12" i="1" s="1"/>
  <c r="E12" i="1" s="1"/>
  <c r="P13" i="1"/>
  <c r="P14" i="1"/>
  <c r="L14" i="1" s="1"/>
  <c r="P15" i="1"/>
  <c r="L15" i="1" s="1"/>
  <c r="P16" i="1"/>
  <c r="L16" i="1" s="1"/>
  <c r="P17" i="1"/>
  <c r="L17" i="1" s="1"/>
  <c r="P18" i="1"/>
  <c r="L18" i="1" s="1"/>
  <c r="P19" i="1"/>
  <c r="P20" i="1"/>
  <c r="P21" i="1"/>
  <c r="L21" i="1" s="1"/>
  <c r="P22" i="1"/>
  <c r="L22" i="1" s="1"/>
  <c r="P23" i="1"/>
  <c r="L23" i="1" s="1"/>
  <c r="P24" i="1"/>
  <c r="L24" i="1" s="1"/>
  <c r="D24" i="1" s="1"/>
  <c r="P25" i="1"/>
  <c r="L25" i="1" s="1"/>
  <c r="P26" i="1"/>
  <c r="L26" i="1" s="1"/>
  <c r="P27" i="1"/>
  <c r="L27" i="1" s="1"/>
  <c r="G27" i="1" s="1"/>
  <c r="P28" i="1"/>
  <c r="P29" i="1"/>
  <c r="L29" i="1" s="1"/>
  <c r="P30" i="1"/>
  <c r="L30" i="1" s="1"/>
  <c r="P31" i="1"/>
  <c r="L31" i="1" s="1"/>
  <c r="P32" i="1"/>
  <c r="L32" i="1" s="1"/>
  <c r="P2" i="1"/>
  <c r="L2" i="1" s="1"/>
  <c r="H2" i="1" s="1"/>
  <c r="L3" i="1"/>
  <c r="D3" i="1" s="1"/>
  <c r="L4" i="1"/>
  <c r="F4" i="1" s="1"/>
  <c r="L11" i="1"/>
  <c r="E11" i="1" s="1"/>
  <c r="L13" i="1"/>
  <c r="C13" i="1" s="1"/>
  <c r="L19" i="1"/>
  <c r="I19" i="1" s="1"/>
  <c r="L20" i="1"/>
  <c r="E20" i="1" s="1"/>
  <c r="L28" i="1"/>
  <c r="D28" i="1" s="1"/>
  <c r="D4" i="1"/>
  <c r="E4" i="1"/>
  <c r="H4" i="1"/>
  <c r="I4" i="1"/>
  <c r="J4" i="1"/>
  <c r="K4" i="1"/>
  <c r="D11" i="1"/>
  <c r="F28" i="1"/>
  <c r="K12" i="1" l="1"/>
  <c r="J13" i="1"/>
  <c r="J12" i="1"/>
  <c r="C12" i="1"/>
  <c r="I12" i="1"/>
  <c r="D12" i="1"/>
  <c r="B29" i="1"/>
  <c r="G29" i="1"/>
  <c r="H29" i="1"/>
  <c r="I29" i="1"/>
  <c r="D29" i="1"/>
  <c r="E29" i="1"/>
  <c r="F29" i="1"/>
  <c r="B28" i="1"/>
  <c r="G20" i="1"/>
  <c r="C3" i="1"/>
  <c r="C28" i="1"/>
  <c r="K28" i="1"/>
  <c r="J28" i="1"/>
  <c r="I28" i="1"/>
  <c r="I13" i="1"/>
  <c r="B12" i="1"/>
  <c r="K3" i="1"/>
  <c r="H28" i="1"/>
  <c r="H13" i="1"/>
  <c r="G28" i="1"/>
  <c r="B13" i="1"/>
  <c r="B5" i="1"/>
  <c r="I5" i="1"/>
  <c r="C5" i="1"/>
  <c r="E5" i="1"/>
  <c r="D5" i="1"/>
  <c r="K5" i="1"/>
  <c r="H5" i="1"/>
  <c r="J5" i="1"/>
  <c r="K21" i="1"/>
  <c r="D21" i="1"/>
  <c r="F21" i="1"/>
  <c r="G21" i="1"/>
  <c r="H21" i="1"/>
  <c r="I21" i="1"/>
  <c r="B21" i="1"/>
  <c r="J21" i="1"/>
  <c r="C21" i="1"/>
  <c r="E21" i="1"/>
  <c r="F20" i="1"/>
  <c r="G13" i="1"/>
  <c r="K20" i="1"/>
  <c r="C20" i="1"/>
  <c r="F13" i="1"/>
  <c r="H12" i="1"/>
  <c r="J20" i="1"/>
  <c r="B20" i="1"/>
  <c r="E13" i="1"/>
  <c r="G12" i="1"/>
  <c r="K29" i="1"/>
  <c r="C29" i="1"/>
  <c r="E28" i="1"/>
  <c r="I20" i="1"/>
  <c r="H19" i="1"/>
  <c r="D13" i="1"/>
  <c r="F12" i="1"/>
  <c r="J29" i="1"/>
  <c r="H20" i="1"/>
  <c r="K13" i="1"/>
  <c r="D20" i="1"/>
  <c r="C4" i="1"/>
  <c r="B4" i="1"/>
  <c r="G5" i="1"/>
  <c r="F5" i="1"/>
  <c r="G4" i="1"/>
  <c r="C18" i="1"/>
  <c r="K18" i="1"/>
  <c r="F18" i="1"/>
  <c r="H18" i="1"/>
  <c r="I18" i="1"/>
  <c r="J18" i="1"/>
  <c r="D18" i="1"/>
  <c r="G18" i="1"/>
  <c r="B18" i="1"/>
  <c r="E18" i="1"/>
  <c r="E7" i="1"/>
  <c r="I7" i="1"/>
  <c r="G10" i="1"/>
  <c r="J10" i="1"/>
  <c r="K10" i="1"/>
  <c r="H10" i="1"/>
  <c r="D10" i="1"/>
  <c r="F10" i="1"/>
  <c r="I10" i="1"/>
  <c r="B10" i="1"/>
  <c r="C10" i="1"/>
  <c r="E10" i="1"/>
  <c r="C17" i="1"/>
  <c r="E17" i="1"/>
  <c r="C32" i="1"/>
  <c r="F32" i="1"/>
  <c r="G32" i="1"/>
  <c r="D16" i="1"/>
  <c r="F16" i="1"/>
  <c r="G16" i="1"/>
  <c r="G31" i="1"/>
  <c r="I31" i="1"/>
  <c r="H31" i="1"/>
  <c r="E15" i="1"/>
  <c r="G15" i="1"/>
  <c r="H15" i="1"/>
  <c r="I15" i="1"/>
  <c r="E6" i="1"/>
  <c r="B6" i="1"/>
  <c r="J6" i="1"/>
  <c r="C6" i="1"/>
  <c r="K6" i="1"/>
  <c r="I26" i="1"/>
  <c r="B26" i="1"/>
  <c r="J26" i="1"/>
  <c r="D26" i="1"/>
  <c r="E26" i="1"/>
  <c r="F26" i="1"/>
  <c r="G26" i="1"/>
  <c r="H26" i="1"/>
  <c r="C26" i="1"/>
  <c r="K26" i="1"/>
  <c r="K25" i="1"/>
  <c r="E25" i="1"/>
  <c r="E8" i="1"/>
  <c r="F8" i="1"/>
  <c r="G8" i="1"/>
  <c r="F23" i="1"/>
  <c r="I23" i="1"/>
  <c r="G23" i="1"/>
  <c r="H23" i="1"/>
  <c r="G30" i="1"/>
  <c r="B30" i="1"/>
  <c r="J30" i="1"/>
  <c r="C30" i="1"/>
  <c r="H30" i="1"/>
  <c r="I30" i="1"/>
  <c r="K30" i="1"/>
  <c r="G22" i="1"/>
  <c r="C22" i="1"/>
  <c r="H22" i="1"/>
  <c r="I22" i="1"/>
  <c r="J22" i="1"/>
  <c r="K22" i="1"/>
  <c r="B22" i="1"/>
  <c r="G14" i="1"/>
  <c r="K14" i="1"/>
  <c r="B14" i="1"/>
  <c r="I14" i="1"/>
  <c r="C14" i="1"/>
  <c r="H14" i="1"/>
  <c r="J14" i="1"/>
  <c r="F27" i="1"/>
  <c r="K11" i="1"/>
  <c r="J11" i="1"/>
  <c r="I3" i="1"/>
  <c r="K27" i="1"/>
  <c r="I11" i="1"/>
  <c r="G3" i="1"/>
  <c r="I27" i="1"/>
  <c r="K19" i="1"/>
  <c r="C19" i="1"/>
  <c r="G11" i="1"/>
  <c r="F3" i="1"/>
  <c r="E27" i="1"/>
  <c r="G19" i="1"/>
  <c r="C11" i="1"/>
  <c r="J3" i="1"/>
  <c r="B3" i="1"/>
  <c r="D27" i="1"/>
  <c r="F19" i="1"/>
  <c r="C27" i="1"/>
  <c r="J27" i="1"/>
  <c r="D19" i="1"/>
  <c r="H11" i="1"/>
  <c r="J19" i="1"/>
  <c r="B19" i="1"/>
  <c r="F11" i="1"/>
  <c r="E3" i="1"/>
  <c r="B11" i="1"/>
  <c r="E19" i="1"/>
  <c r="H3" i="1"/>
  <c r="B27" i="1"/>
  <c r="H27" i="1"/>
  <c r="B2" i="1"/>
  <c r="J2" i="1"/>
  <c r="C2" i="1"/>
  <c r="K2" i="1"/>
  <c r="I2" i="1"/>
  <c r="D2" i="1"/>
  <c r="E2" i="1"/>
  <c r="F2" i="1"/>
  <c r="G2" i="1"/>
  <c r="F24" i="1"/>
  <c r="D9" i="1"/>
  <c r="H7" i="1"/>
  <c r="E32" i="1"/>
  <c r="C25" i="1"/>
  <c r="K17" i="1"/>
  <c r="E16" i="1"/>
  <c r="C9" i="1"/>
  <c r="G7" i="1"/>
  <c r="D32" i="1"/>
  <c r="J25" i="1"/>
  <c r="B25" i="1"/>
  <c r="F15" i="1"/>
  <c r="J9" i="1"/>
  <c r="K32" i="1"/>
  <c r="E31" i="1"/>
  <c r="J32" i="1"/>
  <c r="B32" i="1"/>
  <c r="D31" i="1"/>
  <c r="F30" i="1"/>
  <c r="H25" i="1"/>
  <c r="J24" i="1"/>
  <c r="B24" i="1"/>
  <c r="D23" i="1"/>
  <c r="F22" i="1"/>
  <c r="H17" i="1"/>
  <c r="J16" i="1"/>
  <c r="B16" i="1"/>
  <c r="D15" i="1"/>
  <c r="F14" i="1"/>
  <c r="H9" i="1"/>
  <c r="J8" i="1"/>
  <c r="B8" i="1"/>
  <c r="D7" i="1"/>
  <c r="I32" i="1"/>
  <c r="K31" i="1"/>
  <c r="C31" i="1"/>
  <c r="E30" i="1"/>
  <c r="G25" i="1"/>
  <c r="I24" i="1"/>
  <c r="K23" i="1"/>
  <c r="C23" i="1"/>
  <c r="E22" i="1"/>
  <c r="G17" i="1"/>
  <c r="I16" i="1"/>
  <c r="K15" i="1"/>
  <c r="C15" i="1"/>
  <c r="E14" i="1"/>
  <c r="G9" i="1"/>
  <c r="I8" i="1"/>
  <c r="K7" i="1"/>
  <c r="C7" i="1"/>
  <c r="H32" i="1"/>
  <c r="J31" i="1"/>
  <c r="B31" i="1"/>
  <c r="D30" i="1"/>
  <c r="F25" i="1"/>
  <c r="H24" i="1"/>
  <c r="J23" i="1"/>
  <c r="B23" i="1"/>
  <c r="D22" i="1"/>
  <c r="F17" i="1"/>
  <c r="H16" i="1"/>
  <c r="J15" i="1"/>
  <c r="B15" i="1"/>
  <c r="D14" i="1"/>
  <c r="F9" i="1"/>
  <c r="H8" i="1"/>
  <c r="J7" i="1"/>
  <c r="B7" i="1"/>
  <c r="D6" i="1"/>
  <c r="E9" i="1"/>
  <c r="G24" i="1"/>
  <c r="B17" i="1"/>
  <c r="D8" i="1"/>
  <c r="F7" i="1"/>
  <c r="I25" i="1"/>
  <c r="K24" i="1"/>
  <c r="C24" i="1"/>
  <c r="E23" i="1"/>
  <c r="I17" i="1"/>
  <c r="K16" i="1"/>
  <c r="C16" i="1"/>
  <c r="I9" i="1"/>
  <c r="K8" i="1"/>
  <c r="C8" i="1"/>
  <c r="G6" i="1"/>
  <c r="D25" i="1"/>
  <c r="D17" i="1"/>
  <c r="F31" i="1"/>
  <c r="J17" i="1"/>
  <c r="B9" i="1"/>
  <c r="F6" i="1"/>
  <c r="E24" i="1"/>
  <c r="I6" i="1"/>
  <c r="H6" i="1"/>
</calcChain>
</file>

<file path=xl/sharedStrings.xml><?xml version="1.0" encoding="utf-8"?>
<sst xmlns="http://schemas.openxmlformats.org/spreadsheetml/2006/main" count="37" uniqueCount="37">
  <si>
    <t>country</t>
  </si>
  <si>
    <t>SGP</t>
  </si>
  <si>
    <t>IDN</t>
  </si>
  <si>
    <t>MYS</t>
  </si>
  <si>
    <t>BRN</t>
  </si>
  <si>
    <t>KHM</t>
  </si>
  <si>
    <t>MMR</t>
  </si>
  <si>
    <t>PHL</t>
  </si>
  <si>
    <t>THA</t>
  </si>
  <si>
    <t>VNM</t>
  </si>
  <si>
    <t>LAO</t>
  </si>
  <si>
    <t>AUS</t>
  </si>
  <si>
    <t>SAU</t>
  </si>
  <si>
    <t>IND</t>
  </si>
  <si>
    <t>ARE</t>
  </si>
  <si>
    <t>MAR</t>
  </si>
  <si>
    <t>KEN</t>
  </si>
  <si>
    <t>ZAF</t>
  </si>
  <si>
    <t>KOR</t>
  </si>
  <si>
    <t>EGY</t>
  </si>
  <si>
    <t>NGA</t>
  </si>
  <si>
    <t>BRA</t>
  </si>
  <si>
    <t>COL</t>
  </si>
  <si>
    <t>PER</t>
  </si>
  <si>
    <t>CHL</t>
  </si>
  <si>
    <t>FRA</t>
  </si>
  <si>
    <t>DEU</t>
  </si>
  <si>
    <t>USA</t>
  </si>
  <si>
    <t>RUS</t>
  </si>
  <si>
    <t>CHN</t>
  </si>
  <si>
    <t>TUR</t>
  </si>
  <si>
    <t>JPN</t>
  </si>
  <si>
    <t>Existing_cap_2023_GWp</t>
  </si>
  <si>
    <t>Demand_2023_GWh</t>
  </si>
  <si>
    <t>Demand_2050_GWh</t>
  </si>
  <si>
    <t>Scaling_factor</t>
  </si>
  <si>
    <t>wind_bau_capacity_GWp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</si>
</sst>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4DCF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F575-DBB8-6B41-9247-52C5C4156719}">
  <dimension ref="A1:P32"/>
  <sheetViews>
    <sheetView tabSelected="1" workbookViewId="0">
      <selection activeCell="P22" sqref="P22"/>
    </sheetView>
  </sheetViews>
  <sheetFormatPr baseColWidth="10" defaultRowHeight="16" x14ac:dyDescent="0.2"/>
  <cols>
    <col min="12" max="12" width="25.5" customWidth="1"/>
    <col min="13" max="13" width="21" customWidth="1"/>
    <col min="14" max="14" width="18" customWidth="1"/>
    <col min="15" max="15" width="18.83203125" customWidth="1"/>
    <col min="16" max="16" width="14.33203125" customWidth="1"/>
  </cols>
  <sheetData>
    <row r="1" spans="1:16" x14ac:dyDescent="0.2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 t="s">
        <v>36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2">
      <c r="A2" s="1" t="s">
        <v>1</v>
      </c>
      <c r="B2">
        <f>L2/10</f>
        <v>0</v>
      </c>
      <c r="C2">
        <f>L2/10</f>
        <v>0</v>
      </c>
      <c r="D2">
        <f>L2/10</f>
        <v>0</v>
      </c>
      <c r="E2">
        <f>L2/10</f>
        <v>0</v>
      </c>
      <c r="F2">
        <f>L2/10</f>
        <v>0</v>
      </c>
      <c r="G2">
        <f>L2/10</f>
        <v>0</v>
      </c>
      <c r="H2">
        <f>L2/10</f>
        <v>0</v>
      </c>
      <c r="I2">
        <f>L2/10</f>
        <v>0</v>
      </c>
      <c r="J2">
        <f>L2/10</f>
        <v>0</v>
      </c>
      <c r="K2">
        <f>L2/10</f>
        <v>0</v>
      </c>
      <c r="L2">
        <f>M2*P2</f>
        <v>0</v>
      </c>
      <c r="M2" s="2">
        <v>0</v>
      </c>
      <c r="N2" s="7">
        <v>57630.88968</v>
      </c>
      <c r="O2" s="7">
        <v>76881.145059999995</v>
      </c>
      <c r="P2">
        <f>O2/N2</f>
        <v>1.3340266910139429</v>
      </c>
    </row>
    <row r="3" spans="1:16" x14ac:dyDescent="0.2">
      <c r="A3" s="1" t="s">
        <v>2</v>
      </c>
      <c r="B3">
        <f t="shared" ref="B3:B32" si="0">L3/10</f>
        <v>4.5525605947955392E-2</v>
      </c>
      <c r="C3">
        <f t="shared" ref="C3:C32" si="1">L3/10</f>
        <v>4.5525605947955392E-2</v>
      </c>
      <c r="D3">
        <f t="shared" ref="D3:D32" si="2">L3/10</f>
        <v>4.5525605947955392E-2</v>
      </c>
      <c r="E3">
        <f t="shared" ref="E3:E32" si="3">L3/10</f>
        <v>4.5525605947955392E-2</v>
      </c>
      <c r="F3">
        <f t="shared" ref="F3:F32" si="4">L3/10</f>
        <v>4.5525605947955392E-2</v>
      </c>
      <c r="G3">
        <f t="shared" ref="G3:G32" si="5">L3/10</f>
        <v>4.5525605947955392E-2</v>
      </c>
      <c r="H3">
        <f t="shared" ref="H3:H32" si="6">L3/10</f>
        <v>4.5525605947955392E-2</v>
      </c>
      <c r="I3">
        <f t="shared" ref="I3:I32" si="7">L3/10</f>
        <v>4.5525605947955392E-2</v>
      </c>
      <c r="J3">
        <f t="shared" ref="J3:J32" si="8">L3/10</f>
        <v>4.5525605947955392E-2</v>
      </c>
      <c r="K3">
        <f t="shared" ref="K3:K32" si="9">L3/10</f>
        <v>4.5525605947955392E-2</v>
      </c>
      <c r="L3">
        <f t="shared" ref="L3:L32" si="10">M3*P3</f>
        <v>0.45525605947955389</v>
      </c>
      <c r="M3" s="2">
        <v>0.154</v>
      </c>
      <c r="N3" s="7">
        <v>312847</v>
      </c>
      <c r="O3" s="7">
        <v>924840.86</v>
      </c>
      <c r="P3">
        <f t="shared" ref="P3:P32" si="11">O3/N3</f>
        <v>2.9562081784386618</v>
      </c>
    </row>
    <row r="4" spans="1:16" x14ac:dyDescent="0.2">
      <c r="A4" s="1" t="s">
        <v>3</v>
      </c>
      <c r="B4">
        <f t="shared" si="0"/>
        <v>0</v>
      </c>
      <c r="C4">
        <f t="shared" si="1"/>
        <v>0</v>
      </c>
      <c r="D4">
        <f t="shared" si="2"/>
        <v>0</v>
      </c>
      <c r="E4">
        <f t="shared" si="3"/>
        <v>0</v>
      </c>
      <c r="F4">
        <f t="shared" si="4"/>
        <v>0</v>
      </c>
      <c r="G4">
        <f t="shared" si="5"/>
        <v>0</v>
      </c>
      <c r="H4">
        <f t="shared" si="6"/>
        <v>0</v>
      </c>
      <c r="I4">
        <f t="shared" si="7"/>
        <v>0</v>
      </c>
      <c r="J4">
        <f t="shared" si="8"/>
        <v>0</v>
      </c>
      <c r="K4">
        <f t="shared" si="9"/>
        <v>0</v>
      </c>
      <c r="L4">
        <f t="shared" si="10"/>
        <v>0</v>
      </c>
      <c r="M4" s="3">
        <v>0</v>
      </c>
      <c r="N4" s="7">
        <v>147697.45269999999</v>
      </c>
      <c r="O4" s="7">
        <v>239868.3088</v>
      </c>
      <c r="P4">
        <f t="shared" si="11"/>
        <v>1.6240517653829518</v>
      </c>
    </row>
    <row r="5" spans="1:16" x14ac:dyDescent="0.2">
      <c r="A5" s="1" t="s">
        <v>4</v>
      </c>
      <c r="B5">
        <f t="shared" si="0"/>
        <v>0</v>
      </c>
      <c r="C5">
        <f t="shared" si="1"/>
        <v>0</v>
      </c>
      <c r="D5">
        <f t="shared" si="2"/>
        <v>0</v>
      </c>
      <c r="E5">
        <f t="shared" si="3"/>
        <v>0</v>
      </c>
      <c r="F5">
        <f t="shared" si="4"/>
        <v>0</v>
      </c>
      <c r="G5">
        <f t="shared" si="5"/>
        <v>0</v>
      </c>
      <c r="H5">
        <f t="shared" si="6"/>
        <v>0</v>
      </c>
      <c r="I5">
        <f t="shared" si="7"/>
        <v>0</v>
      </c>
      <c r="J5">
        <f t="shared" si="8"/>
        <v>0</v>
      </c>
      <c r="K5">
        <f t="shared" si="9"/>
        <v>0</v>
      </c>
      <c r="L5">
        <f t="shared" si="10"/>
        <v>0</v>
      </c>
      <c r="M5" s="3">
        <v>0</v>
      </c>
      <c r="N5" s="7">
        <v>5087.7529059999997</v>
      </c>
      <c r="O5" s="7">
        <v>8488.5595109999995</v>
      </c>
      <c r="P5">
        <f t="shared" si="11"/>
        <v>1.6684299862498078</v>
      </c>
    </row>
    <row r="6" spans="1:16" x14ac:dyDescent="0.2">
      <c r="A6" s="1" t="s">
        <v>5</v>
      </c>
      <c r="B6">
        <f t="shared" si="0"/>
        <v>0</v>
      </c>
      <c r="C6">
        <f t="shared" si="1"/>
        <v>0</v>
      </c>
      <c r="D6">
        <f t="shared" si="2"/>
        <v>0</v>
      </c>
      <c r="E6">
        <f t="shared" si="3"/>
        <v>0</v>
      </c>
      <c r="F6">
        <f t="shared" si="4"/>
        <v>0</v>
      </c>
      <c r="G6">
        <f t="shared" si="5"/>
        <v>0</v>
      </c>
      <c r="H6">
        <f t="shared" si="6"/>
        <v>0</v>
      </c>
      <c r="I6">
        <f t="shared" si="7"/>
        <v>0</v>
      </c>
      <c r="J6">
        <f t="shared" si="8"/>
        <v>0</v>
      </c>
      <c r="K6">
        <f t="shared" si="9"/>
        <v>0</v>
      </c>
      <c r="L6">
        <f t="shared" si="10"/>
        <v>0</v>
      </c>
      <c r="M6" s="2">
        <v>0</v>
      </c>
      <c r="N6" s="7">
        <v>9724.1130099999991</v>
      </c>
      <c r="O6" s="7">
        <v>16961.393950000001</v>
      </c>
      <c r="P6">
        <f t="shared" si="11"/>
        <v>1.744261294840711</v>
      </c>
    </row>
    <row r="7" spans="1:16" x14ac:dyDescent="0.2">
      <c r="A7" s="1" t="s">
        <v>6</v>
      </c>
      <c r="B7">
        <f t="shared" si="0"/>
        <v>0</v>
      </c>
      <c r="C7">
        <f t="shared" si="1"/>
        <v>0</v>
      </c>
      <c r="D7">
        <f t="shared" si="2"/>
        <v>0</v>
      </c>
      <c r="E7">
        <f t="shared" si="3"/>
        <v>0</v>
      </c>
      <c r="F7">
        <f t="shared" si="4"/>
        <v>0</v>
      </c>
      <c r="G7">
        <f t="shared" si="5"/>
        <v>0</v>
      </c>
      <c r="H7">
        <f t="shared" si="6"/>
        <v>0</v>
      </c>
      <c r="I7">
        <f t="shared" si="7"/>
        <v>0</v>
      </c>
      <c r="J7">
        <f t="shared" si="8"/>
        <v>0</v>
      </c>
      <c r="K7">
        <f t="shared" si="9"/>
        <v>0</v>
      </c>
      <c r="L7">
        <f t="shared" si="10"/>
        <v>0</v>
      </c>
      <c r="M7" s="2">
        <v>0</v>
      </c>
      <c r="N7" s="7">
        <v>21899.914570000001</v>
      </c>
      <c r="O7" s="7">
        <v>38199.173340000001</v>
      </c>
      <c r="P7">
        <f t="shared" si="11"/>
        <v>1.7442612946229406</v>
      </c>
    </row>
    <row r="8" spans="1:16" x14ac:dyDescent="0.2">
      <c r="A8" s="1" t="s">
        <v>7</v>
      </c>
      <c r="B8">
        <f t="shared" si="0"/>
        <v>0.10540579811392389</v>
      </c>
      <c r="C8">
        <f t="shared" si="1"/>
        <v>0.10540579811392389</v>
      </c>
      <c r="D8">
        <f t="shared" si="2"/>
        <v>0.10540579811392389</v>
      </c>
      <c r="E8">
        <f t="shared" si="3"/>
        <v>0.10540579811392389</v>
      </c>
      <c r="F8">
        <f t="shared" si="4"/>
        <v>0.10540579811392389</v>
      </c>
      <c r="G8">
        <f t="shared" si="5"/>
        <v>0.10540579811392389</v>
      </c>
      <c r="H8">
        <f t="shared" si="6"/>
        <v>0.10540579811392389</v>
      </c>
      <c r="I8">
        <f t="shared" si="7"/>
        <v>0.10540579811392389</v>
      </c>
      <c r="J8">
        <f t="shared" si="8"/>
        <v>0.10540579811392389</v>
      </c>
      <c r="K8">
        <f t="shared" si="9"/>
        <v>0.10540579811392389</v>
      </c>
      <c r="L8">
        <f t="shared" si="10"/>
        <v>1.054057981139239</v>
      </c>
      <c r="M8" s="2">
        <v>0.443</v>
      </c>
      <c r="N8" s="7">
        <v>98247.730809999994</v>
      </c>
      <c r="O8" s="7">
        <v>233767.05369999999</v>
      </c>
      <c r="P8">
        <f t="shared" si="11"/>
        <v>2.3793633885761603</v>
      </c>
    </row>
    <row r="9" spans="1:16" x14ac:dyDescent="0.2">
      <c r="A9" s="1" t="s">
        <v>8</v>
      </c>
      <c r="B9">
        <f t="shared" si="0"/>
        <v>0.26948837005056897</v>
      </c>
      <c r="C9">
        <f t="shared" si="1"/>
        <v>0.26948837005056897</v>
      </c>
      <c r="D9">
        <f t="shared" si="2"/>
        <v>0.26948837005056897</v>
      </c>
      <c r="E9">
        <f t="shared" si="3"/>
        <v>0.26948837005056897</v>
      </c>
      <c r="F9">
        <f t="shared" si="4"/>
        <v>0.26948837005056897</v>
      </c>
      <c r="G9">
        <f t="shared" si="5"/>
        <v>0.26948837005056897</v>
      </c>
      <c r="H9">
        <f t="shared" si="6"/>
        <v>0.26948837005056897</v>
      </c>
      <c r="I9">
        <f t="shared" si="7"/>
        <v>0.26948837005056897</v>
      </c>
      <c r="J9">
        <f t="shared" si="8"/>
        <v>0.26948837005056897</v>
      </c>
      <c r="K9">
        <f t="shared" si="9"/>
        <v>0.26948837005056897</v>
      </c>
      <c r="L9">
        <f t="shared" si="10"/>
        <v>2.6948837005056898</v>
      </c>
      <c r="M9" s="4">
        <v>1.5449999999999999</v>
      </c>
      <c r="N9" s="7">
        <v>251601.09400000001</v>
      </c>
      <c r="O9" s="7">
        <v>438858.05</v>
      </c>
      <c r="P9">
        <f t="shared" si="11"/>
        <v>1.7442612948256893</v>
      </c>
    </row>
    <row r="10" spans="1:16" x14ac:dyDescent="0.2">
      <c r="A10" s="1" t="s">
        <v>9</v>
      </c>
      <c r="B10">
        <f t="shared" si="0"/>
        <v>0.85030303030303023</v>
      </c>
      <c r="C10">
        <f t="shared" si="1"/>
        <v>0.85030303030303023</v>
      </c>
      <c r="D10">
        <f t="shared" si="2"/>
        <v>0.85030303030303023</v>
      </c>
      <c r="E10">
        <f t="shared" si="3"/>
        <v>0.85030303030303023</v>
      </c>
      <c r="F10">
        <f t="shared" si="4"/>
        <v>0.85030303030303023</v>
      </c>
      <c r="G10">
        <f t="shared" si="5"/>
        <v>0.85030303030303023</v>
      </c>
      <c r="H10">
        <f t="shared" si="6"/>
        <v>0.85030303030303023</v>
      </c>
      <c r="I10">
        <f t="shared" si="7"/>
        <v>0.85030303030303023</v>
      </c>
      <c r="J10">
        <f t="shared" si="8"/>
        <v>0.85030303030303023</v>
      </c>
      <c r="K10">
        <f t="shared" si="9"/>
        <v>0.85030303030303023</v>
      </c>
      <c r="L10">
        <f t="shared" si="10"/>
        <v>8.5030303030303021</v>
      </c>
      <c r="M10" s="2">
        <v>4.7839999999999998</v>
      </c>
      <c r="N10" s="7">
        <v>199570.8</v>
      </c>
      <c r="O10" s="7">
        <v>354715</v>
      </c>
      <c r="P10">
        <f t="shared" si="11"/>
        <v>1.7773892773892774</v>
      </c>
    </row>
    <row r="11" spans="1:16" x14ac:dyDescent="0.2">
      <c r="A11" s="1" t="s">
        <v>10</v>
      </c>
      <c r="B11">
        <f t="shared" si="0"/>
        <v>0</v>
      </c>
      <c r="C11">
        <f t="shared" si="1"/>
        <v>0</v>
      </c>
      <c r="D11">
        <f t="shared" si="2"/>
        <v>0</v>
      </c>
      <c r="E11">
        <f t="shared" si="3"/>
        <v>0</v>
      </c>
      <c r="F11">
        <f t="shared" si="4"/>
        <v>0</v>
      </c>
      <c r="G11">
        <f t="shared" si="5"/>
        <v>0</v>
      </c>
      <c r="H11">
        <f t="shared" si="6"/>
        <v>0</v>
      </c>
      <c r="I11">
        <f t="shared" si="7"/>
        <v>0</v>
      </c>
      <c r="J11">
        <f t="shared" si="8"/>
        <v>0</v>
      </c>
      <c r="K11">
        <f t="shared" si="9"/>
        <v>0</v>
      </c>
      <c r="L11">
        <f t="shared" si="10"/>
        <v>0</v>
      </c>
      <c r="M11" s="3">
        <v>0</v>
      </c>
      <c r="N11" s="7">
        <v>6363.3714030000001</v>
      </c>
      <c r="O11" s="7">
        <v>11099.382449999999</v>
      </c>
      <c r="P11">
        <f t="shared" si="11"/>
        <v>1.7442612959487505</v>
      </c>
    </row>
    <row r="12" spans="1:16" x14ac:dyDescent="0.2">
      <c r="A12" s="1" t="s">
        <v>11</v>
      </c>
      <c r="B12">
        <f t="shared" si="0"/>
        <v>0.67927177766812219</v>
      </c>
      <c r="C12">
        <f t="shared" si="1"/>
        <v>0.67927177766812219</v>
      </c>
      <c r="D12">
        <f t="shared" si="2"/>
        <v>0.67927177766812219</v>
      </c>
      <c r="E12">
        <f t="shared" si="3"/>
        <v>0.67927177766812219</v>
      </c>
      <c r="F12">
        <f t="shared" si="4"/>
        <v>0.67927177766812219</v>
      </c>
      <c r="G12">
        <f t="shared" si="5"/>
        <v>0.67927177766812219</v>
      </c>
      <c r="H12">
        <f t="shared" si="6"/>
        <v>0.67927177766812219</v>
      </c>
      <c r="I12">
        <f t="shared" si="7"/>
        <v>0.67927177766812219</v>
      </c>
      <c r="J12">
        <f t="shared" si="8"/>
        <v>0.67927177766812219</v>
      </c>
      <c r="K12">
        <f t="shared" si="9"/>
        <v>0.67927177766812219</v>
      </c>
      <c r="L12">
        <f t="shared" si="10"/>
        <v>6.7927177766812221</v>
      </c>
      <c r="M12" s="9">
        <v>4.181</v>
      </c>
      <c r="N12">
        <v>252359.96200000035</v>
      </c>
      <c r="O12">
        <v>410000</v>
      </c>
      <c r="P12">
        <f t="shared" si="11"/>
        <v>1.6246634242241622</v>
      </c>
    </row>
    <row r="13" spans="1:16" x14ac:dyDescent="0.2">
      <c r="A13" s="1" t="s">
        <v>12</v>
      </c>
      <c r="B13">
        <f t="shared" si="0"/>
        <v>2.252105874157106E-4</v>
      </c>
      <c r="C13">
        <f t="shared" si="1"/>
        <v>2.252105874157106E-4</v>
      </c>
      <c r="D13">
        <f t="shared" si="2"/>
        <v>2.252105874157106E-4</v>
      </c>
      <c r="E13">
        <f t="shared" si="3"/>
        <v>2.252105874157106E-4</v>
      </c>
      <c r="F13">
        <f t="shared" si="4"/>
        <v>2.252105874157106E-4</v>
      </c>
      <c r="G13">
        <f t="shared" si="5"/>
        <v>2.252105874157106E-4</v>
      </c>
      <c r="H13">
        <f t="shared" si="6"/>
        <v>2.252105874157106E-4</v>
      </c>
      <c r="I13">
        <f t="shared" si="7"/>
        <v>2.252105874157106E-4</v>
      </c>
      <c r="J13">
        <f t="shared" si="8"/>
        <v>2.252105874157106E-4</v>
      </c>
      <c r="K13">
        <f t="shared" si="9"/>
        <v>2.252105874157106E-4</v>
      </c>
      <c r="L13">
        <f t="shared" si="10"/>
        <v>2.252105874157106E-3</v>
      </c>
      <c r="M13" s="10">
        <v>1E-3</v>
      </c>
      <c r="N13">
        <v>338349.99000000086</v>
      </c>
      <c r="O13">
        <v>762000</v>
      </c>
      <c r="P13">
        <f t="shared" si="11"/>
        <v>2.2521058741571061</v>
      </c>
    </row>
    <row r="14" spans="1:16" x14ac:dyDescent="0.2">
      <c r="A14" s="1" t="s">
        <v>13</v>
      </c>
      <c r="B14">
        <f t="shared" si="0"/>
        <v>6.7530869924559722</v>
      </c>
      <c r="C14">
        <f t="shared" si="1"/>
        <v>6.7530869924559722</v>
      </c>
      <c r="D14">
        <f t="shared" si="2"/>
        <v>6.7530869924559722</v>
      </c>
      <c r="E14">
        <f t="shared" si="3"/>
        <v>6.7530869924559722</v>
      </c>
      <c r="F14">
        <f t="shared" si="4"/>
        <v>6.7530869924559722</v>
      </c>
      <c r="G14">
        <f t="shared" si="5"/>
        <v>6.7530869924559722</v>
      </c>
      <c r="H14">
        <f t="shared" si="6"/>
        <v>6.7530869924559722</v>
      </c>
      <c r="I14">
        <f t="shared" si="7"/>
        <v>6.7530869924559722</v>
      </c>
      <c r="J14">
        <f t="shared" si="8"/>
        <v>6.7530869924559722</v>
      </c>
      <c r="K14">
        <f t="shared" si="9"/>
        <v>6.7530869924559722</v>
      </c>
      <c r="L14">
        <f t="shared" si="10"/>
        <v>67.530869924559724</v>
      </c>
      <c r="M14" s="11">
        <v>25.088000000000001</v>
      </c>
      <c r="N14">
        <v>1383110.0370000005</v>
      </c>
      <c r="O14">
        <v>3723000</v>
      </c>
      <c r="P14">
        <f t="shared" si="11"/>
        <v>2.6917598024776672</v>
      </c>
    </row>
    <row r="15" spans="1:16" x14ac:dyDescent="0.2">
      <c r="A15" s="1" t="s">
        <v>14</v>
      </c>
      <c r="B15" t="e">
        <f t="shared" si="0"/>
        <v>#DIV/0!</v>
      </c>
      <c r="C15" t="e">
        <f t="shared" si="1"/>
        <v>#DIV/0!</v>
      </c>
      <c r="D15" t="e">
        <f t="shared" si="2"/>
        <v>#DIV/0!</v>
      </c>
      <c r="E15" t="e">
        <f t="shared" si="3"/>
        <v>#DIV/0!</v>
      </c>
      <c r="F15" t="e">
        <f t="shared" si="4"/>
        <v>#DIV/0!</v>
      </c>
      <c r="G15" t="e">
        <f t="shared" si="5"/>
        <v>#DIV/0!</v>
      </c>
      <c r="H15" t="e">
        <f t="shared" si="6"/>
        <v>#DIV/0!</v>
      </c>
      <c r="I15" t="e">
        <f t="shared" si="7"/>
        <v>#DIV/0!</v>
      </c>
      <c r="J15" t="e">
        <f t="shared" si="8"/>
        <v>#DIV/0!</v>
      </c>
      <c r="K15" t="e">
        <f t="shared" si="9"/>
        <v>#DIV/0!</v>
      </c>
      <c r="L15" t="e">
        <f t="shared" si="10"/>
        <v>#DIV/0!</v>
      </c>
      <c r="M15" s="9">
        <v>0.104</v>
      </c>
      <c r="P15" t="e">
        <f t="shared" si="11"/>
        <v>#DIV/0!</v>
      </c>
    </row>
    <row r="16" spans="1:16" x14ac:dyDescent="0.2">
      <c r="A16" s="1" t="s">
        <v>15</v>
      </c>
      <c r="B16">
        <f t="shared" si="0"/>
        <v>0.53912107354561933</v>
      </c>
      <c r="C16">
        <f t="shared" si="1"/>
        <v>0.53912107354561933</v>
      </c>
      <c r="D16">
        <f t="shared" si="2"/>
        <v>0.53912107354561933</v>
      </c>
      <c r="E16">
        <f t="shared" si="3"/>
        <v>0.53912107354561933</v>
      </c>
      <c r="F16">
        <f t="shared" si="4"/>
        <v>0.53912107354561933</v>
      </c>
      <c r="G16">
        <f t="shared" si="5"/>
        <v>0.53912107354561933</v>
      </c>
      <c r="H16">
        <f t="shared" si="6"/>
        <v>0.53912107354561933</v>
      </c>
      <c r="I16">
        <f t="shared" si="7"/>
        <v>0.53912107354561933</v>
      </c>
      <c r="J16">
        <f t="shared" si="8"/>
        <v>0.53912107354561933</v>
      </c>
      <c r="K16">
        <f t="shared" si="9"/>
        <v>0.53912107354561933</v>
      </c>
      <c r="L16">
        <f t="shared" si="10"/>
        <v>5.3912107354561929</v>
      </c>
      <c r="M16" s="2">
        <v>1.8580000000000001</v>
      </c>
      <c r="N16" s="8">
        <v>38785.309589999997</v>
      </c>
      <c r="O16" s="8">
        <v>112540.24619999999</v>
      </c>
      <c r="P16">
        <f t="shared" si="11"/>
        <v>2.9016204173607063</v>
      </c>
    </row>
    <row r="17" spans="1:16" x14ac:dyDescent="0.2">
      <c r="A17" s="1" t="s">
        <v>16</v>
      </c>
      <c r="B17">
        <f t="shared" si="0"/>
        <v>0.25442841205177491</v>
      </c>
      <c r="C17">
        <f t="shared" si="1"/>
        <v>0.25442841205177491</v>
      </c>
      <c r="D17">
        <f t="shared" si="2"/>
        <v>0.25442841205177491</v>
      </c>
      <c r="E17">
        <f t="shared" si="3"/>
        <v>0.25442841205177491</v>
      </c>
      <c r="F17">
        <f t="shared" si="4"/>
        <v>0.25442841205177491</v>
      </c>
      <c r="G17">
        <f t="shared" si="5"/>
        <v>0.25442841205177491</v>
      </c>
      <c r="H17">
        <f t="shared" si="6"/>
        <v>0.25442841205177491</v>
      </c>
      <c r="I17">
        <f t="shared" si="7"/>
        <v>0.25442841205177491</v>
      </c>
      <c r="J17">
        <f t="shared" si="8"/>
        <v>0.25442841205177491</v>
      </c>
      <c r="K17">
        <f t="shared" si="9"/>
        <v>0.25442841205177491</v>
      </c>
      <c r="L17">
        <f t="shared" si="10"/>
        <v>2.5442841205177489</v>
      </c>
      <c r="M17" s="2">
        <v>0.436</v>
      </c>
      <c r="N17" s="8">
        <v>12811.225</v>
      </c>
      <c r="O17" s="8">
        <v>74760.083329999994</v>
      </c>
      <c r="P17">
        <f t="shared" si="11"/>
        <v>5.835514037884745</v>
      </c>
    </row>
    <row r="18" spans="1:16" x14ac:dyDescent="0.2">
      <c r="A18" s="1" t="s">
        <v>17</v>
      </c>
      <c r="B18">
        <f t="shared" si="0"/>
        <v>0.52734384737033424</v>
      </c>
      <c r="C18">
        <f t="shared" si="1"/>
        <v>0.52734384737033424</v>
      </c>
      <c r="D18">
        <f t="shared" si="2"/>
        <v>0.52734384737033424</v>
      </c>
      <c r="E18">
        <f t="shared" si="3"/>
        <v>0.52734384737033424</v>
      </c>
      <c r="F18">
        <f t="shared" si="4"/>
        <v>0.52734384737033424</v>
      </c>
      <c r="G18">
        <f t="shared" si="5"/>
        <v>0.52734384737033424</v>
      </c>
      <c r="H18">
        <f t="shared" si="6"/>
        <v>0.52734384737033424</v>
      </c>
      <c r="I18">
        <f t="shared" si="7"/>
        <v>0.52734384737033424</v>
      </c>
      <c r="J18">
        <f t="shared" si="8"/>
        <v>0.52734384737033424</v>
      </c>
      <c r="K18">
        <f t="shared" si="9"/>
        <v>0.52734384737033424</v>
      </c>
      <c r="L18">
        <f t="shared" si="10"/>
        <v>5.273438473703342</v>
      </c>
      <c r="M18" s="6">
        <v>3.4420000000000002</v>
      </c>
      <c r="N18" s="8">
        <v>199532.0833</v>
      </c>
      <c r="O18" s="8">
        <v>305700.22220000002</v>
      </c>
      <c r="P18">
        <f t="shared" si="11"/>
        <v>1.5320855530805757</v>
      </c>
    </row>
    <row r="19" spans="1:16" x14ac:dyDescent="0.2">
      <c r="A19" s="1" t="s">
        <v>18</v>
      </c>
      <c r="B19">
        <f t="shared" si="0"/>
        <v>0.23272653400125082</v>
      </c>
      <c r="C19">
        <f t="shared" si="1"/>
        <v>0.23272653400125082</v>
      </c>
      <c r="D19">
        <f t="shared" si="2"/>
        <v>0.23272653400125082</v>
      </c>
      <c r="E19">
        <f t="shared" si="3"/>
        <v>0.23272653400125082</v>
      </c>
      <c r="F19">
        <f t="shared" si="4"/>
        <v>0.23272653400125082</v>
      </c>
      <c r="G19">
        <f t="shared" si="5"/>
        <v>0.23272653400125082</v>
      </c>
      <c r="H19">
        <f t="shared" si="6"/>
        <v>0.23272653400125082</v>
      </c>
      <c r="I19">
        <f t="shared" si="7"/>
        <v>0.23272653400125082</v>
      </c>
      <c r="J19">
        <f t="shared" si="8"/>
        <v>0.23272653400125082</v>
      </c>
      <c r="K19">
        <f t="shared" si="9"/>
        <v>0.23272653400125082</v>
      </c>
      <c r="L19">
        <f t="shared" si="10"/>
        <v>2.3272653400125081</v>
      </c>
      <c r="M19" s="2">
        <v>2.0310000000000001</v>
      </c>
      <c r="N19" s="8">
        <v>554700.31530000002</v>
      </c>
      <c r="O19" s="7">
        <v>635615.37069999997</v>
      </c>
      <c r="P19">
        <f t="shared" si="11"/>
        <v>1.1458716592873008</v>
      </c>
    </row>
    <row r="20" spans="1:16" x14ac:dyDescent="0.2">
      <c r="A20" s="1" t="s">
        <v>19</v>
      </c>
      <c r="B20">
        <f t="shared" si="0"/>
        <v>0.53227110425956337</v>
      </c>
      <c r="C20">
        <f t="shared" si="1"/>
        <v>0.53227110425956337</v>
      </c>
      <c r="D20">
        <f t="shared" si="2"/>
        <v>0.53227110425956337</v>
      </c>
      <c r="E20">
        <f t="shared" si="3"/>
        <v>0.53227110425956337</v>
      </c>
      <c r="F20">
        <f t="shared" si="4"/>
        <v>0.53227110425956337</v>
      </c>
      <c r="G20">
        <f t="shared" si="5"/>
        <v>0.53227110425956337</v>
      </c>
      <c r="H20">
        <f t="shared" si="6"/>
        <v>0.53227110425956337</v>
      </c>
      <c r="I20">
        <f t="shared" si="7"/>
        <v>0.53227110425956337</v>
      </c>
      <c r="J20">
        <f t="shared" si="8"/>
        <v>0.53227110425956337</v>
      </c>
      <c r="K20">
        <f t="shared" si="9"/>
        <v>0.53227110425956337</v>
      </c>
      <c r="L20">
        <f t="shared" si="10"/>
        <v>5.3227110425956337</v>
      </c>
      <c r="M20" s="2">
        <v>1.89</v>
      </c>
      <c r="N20" s="8">
        <v>157013.86679999999</v>
      </c>
      <c r="O20" s="8">
        <v>442190.1813</v>
      </c>
      <c r="P20">
        <f t="shared" si="11"/>
        <v>2.816249228886579</v>
      </c>
    </row>
    <row r="21" spans="1:16" x14ac:dyDescent="0.2">
      <c r="A21" s="1" t="s">
        <v>20</v>
      </c>
      <c r="B21">
        <f t="shared" si="0"/>
        <v>6.3483357472612326E-4</v>
      </c>
      <c r="C21">
        <f t="shared" si="1"/>
        <v>6.3483357472612326E-4</v>
      </c>
      <c r="D21">
        <f t="shared" si="2"/>
        <v>6.3483357472612326E-4</v>
      </c>
      <c r="E21">
        <f t="shared" si="3"/>
        <v>6.3483357472612326E-4</v>
      </c>
      <c r="F21">
        <f t="shared" si="4"/>
        <v>6.3483357472612326E-4</v>
      </c>
      <c r="G21">
        <f t="shared" si="5"/>
        <v>6.3483357472612326E-4</v>
      </c>
      <c r="H21">
        <f t="shared" si="6"/>
        <v>6.3483357472612326E-4</v>
      </c>
      <c r="I21">
        <f t="shared" si="7"/>
        <v>6.3483357472612326E-4</v>
      </c>
      <c r="J21">
        <f t="shared" si="8"/>
        <v>6.3483357472612326E-4</v>
      </c>
      <c r="K21">
        <f t="shared" si="9"/>
        <v>6.3483357472612326E-4</v>
      </c>
      <c r="L21">
        <f t="shared" si="10"/>
        <v>6.3483357472612321E-3</v>
      </c>
      <c r="M21" s="3">
        <v>1E-3</v>
      </c>
      <c r="N21" s="8">
        <v>87774.542350000003</v>
      </c>
      <c r="O21" s="8">
        <v>557222.26489999995</v>
      </c>
      <c r="P21">
        <f t="shared" si="11"/>
        <v>6.3483357472612321</v>
      </c>
    </row>
    <row r="22" spans="1:16" x14ac:dyDescent="0.2">
      <c r="A22" s="1" t="s">
        <v>21</v>
      </c>
      <c r="B22">
        <f t="shared" si="0"/>
        <v>6.2571194107004082</v>
      </c>
      <c r="C22">
        <f t="shared" si="1"/>
        <v>6.2571194107004082</v>
      </c>
      <c r="D22">
        <f t="shared" si="2"/>
        <v>6.2571194107004082</v>
      </c>
      <c r="E22">
        <f t="shared" si="3"/>
        <v>6.2571194107004082</v>
      </c>
      <c r="F22">
        <f t="shared" si="4"/>
        <v>6.2571194107004082</v>
      </c>
      <c r="G22">
        <f t="shared" si="5"/>
        <v>6.2571194107004082</v>
      </c>
      <c r="H22">
        <f t="shared" si="6"/>
        <v>6.2571194107004082</v>
      </c>
      <c r="I22">
        <f t="shared" si="7"/>
        <v>6.2571194107004082</v>
      </c>
      <c r="J22">
        <f t="shared" si="8"/>
        <v>6.2571194107004082</v>
      </c>
      <c r="K22">
        <f t="shared" si="9"/>
        <v>6.2571194107004082</v>
      </c>
      <c r="L22">
        <f t="shared" si="10"/>
        <v>62.571194107004082</v>
      </c>
      <c r="M22" s="4">
        <v>29.135000000000002</v>
      </c>
      <c r="N22" s="8">
        <v>611887.15040000004</v>
      </c>
      <c r="O22" s="8">
        <v>1314107.0759999999</v>
      </c>
      <c r="P22">
        <f t="shared" si="11"/>
        <v>2.1476297960186743</v>
      </c>
    </row>
    <row r="23" spans="1:16" x14ac:dyDescent="0.2">
      <c r="A23" s="1" t="s">
        <v>22</v>
      </c>
      <c r="B23">
        <f t="shared" si="0"/>
        <v>4.0288590599436925E-3</v>
      </c>
      <c r="C23">
        <f t="shared" si="1"/>
        <v>4.0288590599436925E-3</v>
      </c>
      <c r="D23">
        <f t="shared" si="2"/>
        <v>4.0288590599436925E-3</v>
      </c>
      <c r="E23">
        <f t="shared" si="3"/>
        <v>4.0288590599436925E-3</v>
      </c>
      <c r="F23">
        <f t="shared" si="4"/>
        <v>4.0288590599436925E-3</v>
      </c>
      <c r="G23">
        <f t="shared" si="5"/>
        <v>4.0288590599436925E-3</v>
      </c>
      <c r="H23">
        <f t="shared" si="6"/>
        <v>4.0288590599436925E-3</v>
      </c>
      <c r="I23">
        <f t="shared" si="7"/>
        <v>4.0288590599436925E-3</v>
      </c>
      <c r="J23">
        <f t="shared" si="8"/>
        <v>4.0288590599436925E-3</v>
      </c>
      <c r="K23">
        <f t="shared" si="9"/>
        <v>4.0288590599436925E-3</v>
      </c>
      <c r="L23">
        <f t="shared" si="10"/>
        <v>4.0288590599436923E-2</v>
      </c>
      <c r="M23" s="5">
        <v>1.7999999999999999E-2</v>
      </c>
      <c r="N23" s="8">
        <v>82643.941439999995</v>
      </c>
      <c r="O23" s="8">
        <v>184978.21789999999</v>
      </c>
      <c r="P23">
        <f t="shared" si="11"/>
        <v>2.2382550333020514</v>
      </c>
    </row>
    <row r="24" spans="1:16" x14ac:dyDescent="0.2">
      <c r="A24" s="1" t="s">
        <v>23</v>
      </c>
      <c r="B24">
        <f t="shared" si="0"/>
        <v>0.15814864863101491</v>
      </c>
      <c r="C24">
        <f t="shared" si="1"/>
        <v>0.15814864863101491</v>
      </c>
      <c r="D24">
        <f t="shared" si="2"/>
        <v>0.15814864863101491</v>
      </c>
      <c r="E24">
        <f t="shared" si="3"/>
        <v>0.15814864863101491</v>
      </c>
      <c r="F24">
        <f t="shared" si="4"/>
        <v>0.15814864863101491</v>
      </c>
      <c r="G24">
        <f t="shared" si="5"/>
        <v>0.15814864863101491</v>
      </c>
      <c r="H24">
        <f t="shared" si="6"/>
        <v>0.15814864863101491</v>
      </c>
      <c r="I24">
        <f t="shared" si="7"/>
        <v>0.15814864863101491</v>
      </c>
      <c r="J24">
        <f t="shared" si="8"/>
        <v>0.15814864863101491</v>
      </c>
      <c r="K24">
        <f t="shared" si="9"/>
        <v>0.15814864863101491</v>
      </c>
      <c r="L24">
        <f t="shared" si="10"/>
        <v>1.5814864863101492</v>
      </c>
      <c r="M24" s="2">
        <v>0.70499999999999996</v>
      </c>
      <c r="N24" s="8">
        <v>61591.063889999998</v>
      </c>
      <c r="O24" s="8">
        <v>138163.73790000001</v>
      </c>
      <c r="P24">
        <f t="shared" si="11"/>
        <v>2.2432432429931195</v>
      </c>
    </row>
    <row r="25" spans="1:16" x14ac:dyDescent="0.2">
      <c r="A25" s="1" t="s">
        <v>24</v>
      </c>
      <c r="B25">
        <f t="shared" si="0"/>
        <v>0.93860714302845472</v>
      </c>
      <c r="C25">
        <f t="shared" si="1"/>
        <v>0.93860714302845472</v>
      </c>
      <c r="D25">
        <f t="shared" si="2"/>
        <v>0.93860714302845472</v>
      </c>
      <c r="E25">
        <f t="shared" si="3"/>
        <v>0.93860714302845472</v>
      </c>
      <c r="F25">
        <f t="shared" si="4"/>
        <v>0.93860714302845472</v>
      </c>
      <c r="G25">
        <f t="shared" si="5"/>
        <v>0.93860714302845472</v>
      </c>
      <c r="H25">
        <f t="shared" si="6"/>
        <v>0.93860714302845472</v>
      </c>
      <c r="I25">
        <f t="shared" si="7"/>
        <v>0.93860714302845472</v>
      </c>
      <c r="J25">
        <f t="shared" si="8"/>
        <v>0.93860714302845472</v>
      </c>
      <c r="K25">
        <f t="shared" si="9"/>
        <v>0.93860714302845472</v>
      </c>
      <c r="L25">
        <f t="shared" si="10"/>
        <v>9.3860714302845469</v>
      </c>
      <c r="M25" s="4">
        <v>4.51</v>
      </c>
      <c r="N25" s="8">
        <v>84278.266539999997</v>
      </c>
      <c r="O25" s="7">
        <v>175397.3015</v>
      </c>
      <c r="P25">
        <f t="shared" si="11"/>
        <v>2.08116883154868</v>
      </c>
    </row>
    <row r="26" spans="1:16" x14ac:dyDescent="0.2">
      <c r="A26" s="1" t="s">
        <v>25</v>
      </c>
      <c r="B26">
        <f t="shared" si="0"/>
        <v>1.4115708063811312</v>
      </c>
      <c r="C26">
        <f t="shared" si="1"/>
        <v>1.4115708063811312</v>
      </c>
      <c r="D26">
        <f t="shared" si="2"/>
        <v>1.4115708063811312</v>
      </c>
      <c r="E26">
        <f t="shared" si="3"/>
        <v>1.4115708063811312</v>
      </c>
      <c r="F26">
        <f t="shared" si="4"/>
        <v>1.4115708063811312</v>
      </c>
      <c r="G26">
        <f t="shared" si="5"/>
        <v>1.4115708063811312</v>
      </c>
      <c r="H26">
        <f t="shared" si="6"/>
        <v>1.4115708063811312</v>
      </c>
      <c r="I26">
        <f t="shared" si="7"/>
        <v>1.4115708063811312</v>
      </c>
      <c r="J26">
        <f t="shared" si="8"/>
        <v>1.4115708063811312</v>
      </c>
      <c r="K26">
        <f t="shared" si="9"/>
        <v>1.4115708063811312</v>
      </c>
      <c r="L26">
        <f t="shared" si="10"/>
        <v>14.115708063811311</v>
      </c>
      <c r="M26" s="9">
        <v>10.287000000000001</v>
      </c>
      <c r="N26">
        <v>470051.87199999986</v>
      </c>
      <c r="O26">
        <v>645000</v>
      </c>
      <c r="P26">
        <f t="shared" si="11"/>
        <v>1.3721889825810547</v>
      </c>
    </row>
    <row r="27" spans="1:16" x14ac:dyDescent="0.2">
      <c r="A27" s="1" t="s">
        <v>26</v>
      </c>
      <c r="B27">
        <f t="shared" si="0"/>
        <v>46.533105873335231</v>
      </c>
      <c r="C27">
        <f t="shared" si="1"/>
        <v>46.533105873335231</v>
      </c>
      <c r="D27">
        <f t="shared" si="2"/>
        <v>46.533105873335231</v>
      </c>
      <c r="E27">
        <f t="shared" si="3"/>
        <v>46.533105873335231</v>
      </c>
      <c r="F27">
        <f t="shared" si="4"/>
        <v>46.533105873335231</v>
      </c>
      <c r="G27">
        <f t="shared" si="5"/>
        <v>46.533105873335231</v>
      </c>
      <c r="H27">
        <f t="shared" si="6"/>
        <v>46.533105873335231</v>
      </c>
      <c r="I27">
        <f t="shared" si="7"/>
        <v>46.533105873335231</v>
      </c>
      <c r="J27">
        <f t="shared" si="8"/>
        <v>46.533105873335231</v>
      </c>
      <c r="K27">
        <f t="shared" si="9"/>
        <v>46.533105873335231</v>
      </c>
      <c r="L27">
        <f t="shared" si="10"/>
        <v>465.33105873335234</v>
      </c>
      <c r="M27" s="11">
        <v>41.296999999999997</v>
      </c>
      <c r="N27">
        <v>81647.763000000356</v>
      </c>
      <c r="O27">
        <v>920000</v>
      </c>
      <c r="P27">
        <f t="shared" si="11"/>
        <v>11.267914345675289</v>
      </c>
    </row>
    <row r="28" spans="1:16" x14ac:dyDescent="0.2">
      <c r="A28" s="1" t="s">
        <v>27</v>
      </c>
      <c r="B28">
        <f t="shared" si="0"/>
        <v>9.9593733928023624</v>
      </c>
      <c r="C28">
        <f t="shared" si="1"/>
        <v>9.9593733928023624</v>
      </c>
      <c r="D28">
        <f t="shared" si="2"/>
        <v>9.9593733928023624</v>
      </c>
      <c r="E28">
        <f t="shared" si="3"/>
        <v>9.9593733928023624</v>
      </c>
      <c r="F28">
        <f t="shared" si="4"/>
        <v>9.9593733928023624</v>
      </c>
      <c r="G28">
        <f t="shared" si="5"/>
        <v>9.9593733928023624</v>
      </c>
      <c r="H28">
        <f t="shared" si="6"/>
        <v>9.9593733928023624</v>
      </c>
      <c r="I28">
        <f t="shared" si="7"/>
        <v>9.9593733928023624</v>
      </c>
      <c r="J28">
        <f t="shared" si="8"/>
        <v>9.9593733928023624</v>
      </c>
      <c r="K28">
        <f t="shared" si="9"/>
        <v>9.9593733928023624</v>
      </c>
      <c r="L28">
        <f t="shared" si="10"/>
        <v>99.593733928023624</v>
      </c>
      <c r="M28" s="11">
        <v>72.766999999999996</v>
      </c>
      <c r="N28">
        <v>4383830.0139999986</v>
      </c>
      <c r="O28">
        <v>6000000</v>
      </c>
      <c r="P28">
        <f t="shared" si="11"/>
        <v>1.3686662075944265</v>
      </c>
    </row>
    <row r="29" spans="1:16" x14ac:dyDescent="0.2">
      <c r="A29" s="1" t="s">
        <v>28</v>
      </c>
      <c r="B29">
        <f t="shared" si="0"/>
        <v>1.9793729188243283E-3</v>
      </c>
      <c r="C29">
        <f t="shared" si="1"/>
        <v>1.9793729188243283E-3</v>
      </c>
      <c r="D29">
        <f t="shared" si="2"/>
        <v>1.9793729188243283E-3</v>
      </c>
      <c r="E29">
        <f t="shared" si="3"/>
        <v>1.9793729188243283E-3</v>
      </c>
      <c r="F29">
        <f t="shared" si="4"/>
        <v>1.9793729188243283E-3</v>
      </c>
      <c r="G29">
        <f t="shared" si="5"/>
        <v>1.9793729188243283E-3</v>
      </c>
      <c r="H29">
        <f t="shared" si="6"/>
        <v>1.9793729188243283E-3</v>
      </c>
      <c r="I29">
        <f t="shared" si="7"/>
        <v>1.9793729188243283E-3</v>
      </c>
      <c r="J29">
        <f t="shared" si="8"/>
        <v>1.9793729188243283E-3</v>
      </c>
      <c r="K29">
        <f t="shared" si="9"/>
        <v>1.9793729188243283E-3</v>
      </c>
      <c r="L29">
        <f t="shared" si="10"/>
        <v>1.9793729188243285E-2</v>
      </c>
      <c r="M29" s="12">
        <v>1.0999999999999999E-2</v>
      </c>
      <c r="N29">
        <v>1055889.9640000025</v>
      </c>
      <c r="O29">
        <v>1900000</v>
      </c>
      <c r="P29">
        <f t="shared" si="11"/>
        <v>1.799429926203935</v>
      </c>
    </row>
    <row r="30" spans="1:16" x14ac:dyDescent="0.2">
      <c r="A30" s="1" t="s">
        <v>29</v>
      </c>
      <c r="B30">
        <f t="shared" si="0"/>
        <v>25.993604122325753</v>
      </c>
      <c r="C30">
        <f t="shared" si="1"/>
        <v>25.993604122325753</v>
      </c>
      <c r="D30">
        <f t="shared" si="2"/>
        <v>25.993604122325753</v>
      </c>
      <c r="E30">
        <f t="shared" si="3"/>
        <v>25.993604122325753</v>
      </c>
      <c r="F30">
        <f t="shared" si="4"/>
        <v>25.993604122325753</v>
      </c>
      <c r="G30">
        <f t="shared" si="5"/>
        <v>25.993604122325753</v>
      </c>
      <c r="H30">
        <f t="shared" si="6"/>
        <v>25.993604122325753</v>
      </c>
      <c r="I30">
        <f t="shared" si="7"/>
        <v>25.993604122325753</v>
      </c>
      <c r="J30">
        <f t="shared" si="8"/>
        <v>25.993604122325753</v>
      </c>
      <c r="K30">
        <f t="shared" si="9"/>
        <v>25.993604122325753</v>
      </c>
      <c r="L30">
        <f t="shared" si="10"/>
        <v>259.93604122325752</v>
      </c>
      <c r="M30" s="9">
        <v>130.489</v>
      </c>
      <c r="N30">
        <v>5796141.185000075</v>
      </c>
      <c r="O30">
        <v>11546000</v>
      </c>
      <c r="P30">
        <f t="shared" si="11"/>
        <v>1.9920149684897386</v>
      </c>
    </row>
    <row r="31" spans="1:16" x14ac:dyDescent="0.2">
      <c r="A31" s="1" t="s">
        <v>30</v>
      </c>
      <c r="B31">
        <f t="shared" si="0"/>
        <v>1.1065993076178222</v>
      </c>
      <c r="C31">
        <f t="shared" si="1"/>
        <v>1.1065993076178222</v>
      </c>
      <c r="D31">
        <f t="shared" si="2"/>
        <v>1.1065993076178222</v>
      </c>
      <c r="E31">
        <f t="shared" si="3"/>
        <v>1.1065993076178222</v>
      </c>
      <c r="F31">
        <f t="shared" si="4"/>
        <v>1.1065993076178222</v>
      </c>
      <c r="G31">
        <f t="shared" si="5"/>
        <v>1.1065993076178222</v>
      </c>
      <c r="H31">
        <f t="shared" si="6"/>
        <v>1.1065993076178222</v>
      </c>
      <c r="I31">
        <f t="shared" si="7"/>
        <v>1.1065993076178222</v>
      </c>
      <c r="J31">
        <f t="shared" si="8"/>
        <v>1.1065993076178222</v>
      </c>
      <c r="K31">
        <f t="shared" si="9"/>
        <v>1.1065993076178222</v>
      </c>
      <c r="L31">
        <f t="shared" si="10"/>
        <v>11.065993076178222</v>
      </c>
      <c r="M31" s="9">
        <v>4.5030000000000001</v>
      </c>
      <c r="N31">
        <v>265720.30000000005</v>
      </c>
      <c r="O31">
        <v>653000</v>
      </c>
      <c r="P31">
        <f t="shared" si="11"/>
        <v>2.4574712583118412</v>
      </c>
    </row>
    <row r="32" spans="1:16" x14ac:dyDescent="0.2">
      <c r="A32" s="1" t="s">
        <v>31</v>
      </c>
      <c r="B32">
        <f t="shared" si="0"/>
        <v>0.36825801382039963</v>
      </c>
      <c r="C32">
        <f t="shared" si="1"/>
        <v>0.36825801382039963</v>
      </c>
      <c r="D32">
        <f t="shared" si="2"/>
        <v>0.36825801382039963</v>
      </c>
      <c r="E32">
        <f t="shared" si="3"/>
        <v>0.36825801382039963</v>
      </c>
      <c r="F32">
        <f t="shared" si="4"/>
        <v>0.36825801382039963</v>
      </c>
      <c r="G32">
        <f t="shared" si="5"/>
        <v>0.36825801382039963</v>
      </c>
      <c r="H32">
        <f t="shared" si="6"/>
        <v>0.36825801382039963</v>
      </c>
      <c r="I32">
        <f t="shared" si="7"/>
        <v>0.36825801382039963</v>
      </c>
      <c r="J32">
        <f t="shared" si="8"/>
        <v>0.36825801382039963</v>
      </c>
      <c r="K32">
        <f t="shared" si="9"/>
        <v>0.36825801382039963</v>
      </c>
      <c r="L32">
        <f t="shared" si="10"/>
        <v>3.6825801382039964</v>
      </c>
      <c r="M32" s="9">
        <v>2.7490000000000001</v>
      </c>
      <c r="N32">
        <v>1041350.0470000005</v>
      </c>
      <c r="O32">
        <v>1395000</v>
      </c>
      <c r="P32">
        <f t="shared" si="11"/>
        <v>1.3396071801396858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onshorebau_max_cap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Sagastuy Breña</dc:creator>
  <cp:lastModifiedBy>Mónica Sagastuy Breña</cp:lastModifiedBy>
  <dcterms:created xsi:type="dcterms:W3CDTF">2025-05-02T11:55:50Z</dcterms:created>
  <dcterms:modified xsi:type="dcterms:W3CDTF">2025-06-19T11:41:12Z</dcterms:modified>
</cp:coreProperties>
</file>