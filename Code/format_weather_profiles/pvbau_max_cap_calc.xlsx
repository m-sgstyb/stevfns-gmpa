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orie4253/Documents/MOYA Analytics/GMPA/STEVFNs/Code/format_weather_profiles/"/>
    </mc:Choice>
  </mc:AlternateContent>
  <xr:revisionPtr revIDLastSave="0" documentId="13_ncr:1_{E5826546-69E2-0649-991B-CB26051C3610}" xr6:coauthVersionLast="47" xr6:coauthVersionMax="47" xr10:uidLastSave="{00000000-0000-0000-0000-000000000000}"/>
  <bookViews>
    <workbookView xWindow="-31500" yWindow="540" windowWidth="27640" windowHeight="16760" xr2:uid="{2EB9D502-0D15-A14C-AF4C-11749A97F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B3" i="1" s="1"/>
  <c r="F4" i="1"/>
  <c r="B4" i="1" s="1"/>
  <c r="F5" i="1"/>
  <c r="B5" i="1" s="1"/>
  <c r="F6" i="1"/>
  <c r="B6" i="1" s="1"/>
  <c r="F7" i="1"/>
  <c r="B7" i="1" s="1"/>
  <c r="F8" i="1"/>
  <c r="B8" i="1" s="1"/>
  <c r="F9" i="1"/>
  <c r="B9" i="1" s="1"/>
  <c r="F10" i="1"/>
  <c r="B10" i="1" s="1"/>
  <c r="F11" i="1"/>
  <c r="B11" i="1" s="1"/>
  <c r="F12" i="1"/>
  <c r="B12" i="1" s="1"/>
  <c r="F13" i="1"/>
  <c r="B13" i="1" s="1"/>
  <c r="F14" i="1"/>
  <c r="B14" i="1" s="1"/>
  <c r="F15" i="1"/>
  <c r="B15" i="1" s="1"/>
  <c r="F16" i="1"/>
  <c r="B16" i="1" s="1"/>
  <c r="F17" i="1"/>
  <c r="B17" i="1" s="1"/>
  <c r="F18" i="1"/>
  <c r="B18" i="1" s="1"/>
  <c r="F19" i="1"/>
  <c r="B19" i="1" s="1"/>
  <c r="F20" i="1"/>
  <c r="B20" i="1" s="1"/>
  <c r="F21" i="1"/>
  <c r="B21" i="1" s="1"/>
  <c r="F22" i="1"/>
  <c r="B22" i="1" s="1"/>
  <c r="F23" i="1"/>
  <c r="B23" i="1" s="1"/>
  <c r="F24" i="1"/>
  <c r="B24" i="1" s="1"/>
  <c r="F25" i="1"/>
  <c r="B25" i="1" s="1"/>
  <c r="F26" i="1"/>
  <c r="B26" i="1" s="1"/>
  <c r="F27" i="1"/>
  <c r="B27" i="1" s="1"/>
  <c r="F28" i="1"/>
  <c r="B28" i="1" s="1"/>
  <c r="F29" i="1"/>
  <c r="B29" i="1" s="1"/>
  <c r="F30" i="1"/>
  <c r="B30" i="1" s="1"/>
  <c r="F31" i="1"/>
  <c r="B31" i="1" s="1"/>
  <c r="F32" i="1"/>
  <c r="B32" i="1" s="1"/>
  <c r="F2" i="1"/>
  <c r="B2" i="1" s="1"/>
</calcChain>
</file>

<file path=xl/sharedStrings.xml><?xml version="1.0" encoding="utf-8"?>
<sst xmlns="http://schemas.openxmlformats.org/spreadsheetml/2006/main" count="37" uniqueCount="37">
  <si>
    <t>country</t>
  </si>
  <si>
    <t>SGP</t>
  </si>
  <si>
    <t>IDN</t>
  </si>
  <si>
    <t>MYS</t>
  </si>
  <si>
    <t>BRN</t>
  </si>
  <si>
    <t>KHM</t>
  </si>
  <si>
    <t>MMR</t>
  </si>
  <si>
    <t>PHL</t>
  </si>
  <si>
    <t>THA</t>
  </si>
  <si>
    <t>VNM</t>
  </si>
  <si>
    <t>LAO</t>
  </si>
  <si>
    <t>AUS</t>
  </si>
  <si>
    <t>SAU</t>
  </si>
  <si>
    <t>IND</t>
  </si>
  <si>
    <t>ARE</t>
  </si>
  <si>
    <t>MAR</t>
  </si>
  <si>
    <t>KEN</t>
  </si>
  <si>
    <t>ZAF</t>
  </si>
  <si>
    <t>KOR</t>
  </si>
  <si>
    <t>EGY</t>
  </si>
  <si>
    <t>NGA</t>
  </si>
  <si>
    <t>BRA</t>
  </si>
  <si>
    <t>COL</t>
  </si>
  <si>
    <t>PER</t>
  </si>
  <si>
    <t>CHL</t>
  </si>
  <si>
    <t>FRA</t>
  </si>
  <si>
    <t>DEU</t>
  </si>
  <si>
    <t>USA</t>
  </si>
  <si>
    <t>RUS</t>
  </si>
  <si>
    <t>CHN</t>
  </si>
  <si>
    <t>TUR</t>
  </si>
  <si>
    <t>JPN</t>
  </si>
  <si>
    <t>pv_bau_capacity_GWp</t>
  </si>
  <si>
    <t>Existing_cap_2023_GWp</t>
  </si>
  <si>
    <t>Demand_2023_GWh</t>
  </si>
  <si>
    <t>Demand_2050_GWh</t>
  </si>
  <si>
    <t>Scaling_factor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</si>
</sst>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DF62-BE81-A54F-83B8-FF8292FB1D5D}">
  <dimension ref="A1:F32"/>
  <sheetViews>
    <sheetView tabSelected="1" workbookViewId="0">
      <selection activeCell="J14" sqref="J14"/>
    </sheetView>
  </sheetViews>
  <sheetFormatPr baseColWidth="10" defaultRowHeight="16" x14ac:dyDescent="0.2"/>
  <cols>
    <col min="2" max="2" width="22.6640625" customWidth="1"/>
    <col min="3" max="3" width="21" bestFit="1" customWidth="1"/>
    <col min="4" max="5" width="17.83203125" bestFit="1" customWidth="1"/>
    <col min="6" max="6" width="12.6640625" bestFit="1" customWidth="1"/>
  </cols>
  <sheetData>
    <row r="1" spans="1:6" x14ac:dyDescent="0.2">
      <c r="A1" t="s">
        <v>0</v>
      </c>
      <c r="B1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6" x14ac:dyDescent="0.2">
      <c r="A2" s="1" t="s">
        <v>1</v>
      </c>
      <c r="B2">
        <f>C2*F2</f>
        <v>1.0325366588447917</v>
      </c>
      <c r="C2" s="4">
        <v>0.77400000000000002</v>
      </c>
      <c r="D2" s="2">
        <v>57630.88968</v>
      </c>
      <c r="E2" s="2">
        <v>76881.145059999995</v>
      </c>
      <c r="F2">
        <f>E2/D2</f>
        <v>1.3340266910139429</v>
      </c>
    </row>
    <row r="3" spans="1:6" x14ac:dyDescent="0.2">
      <c r="A3" s="1" t="s">
        <v>2</v>
      </c>
      <c r="B3">
        <f t="shared" ref="B3:B32" si="0">C3*F3</f>
        <v>1.6968634944237917</v>
      </c>
      <c r="C3" s="5">
        <v>0.57399999999999995</v>
      </c>
      <c r="D3" s="2">
        <v>312847</v>
      </c>
      <c r="E3" s="2">
        <v>924840.86</v>
      </c>
      <c r="F3">
        <f t="shared" ref="F3:F32" si="1">E3/D3</f>
        <v>2.9562081784386618</v>
      </c>
    </row>
    <row r="4" spans="1:6" x14ac:dyDescent="0.2">
      <c r="A4" s="1" t="s">
        <v>3</v>
      </c>
      <c r="B4">
        <f t="shared" si="0"/>
        <v>3.1392920624852461</v>
      </c>
      <c r="C4" s="5">
        <v>1.9330000000000001</v>
      </c>
      <c r="D4" s="2">
        <v>147697.45269999999</v>
      </c>
      <c r="E4" s="2">
        <v>239868.3088</v>
      </c>
      <c r="F4">
        <f t="shared" si="1"/>
        <v>1.6240517653829518</v>
      </c>
    </row>
    <row r="5" spans="1:6" x14ac:dyDescent="0.2">
      <c r="A5" s="1" t="s">
        <v>4</v>
      </c>
      <c r="B5">
        <f t="shared" si="0"/>
        <v>8.3421499312490398E-3</v>
      </c>
      <c r="C5" s="5">
        <v>5.0000000000000001E-3</v>
      </c>
      <c r="D5" s="2">
        <v>5087.7529059999997</v>
      </c>
      <c r="E5" s="2">
        <v>8488.5595109999995</v>
      </c>
      <c r="F5">
        <f t="shared" si="1"/>
        <v>1.6684299862498078</v>
      </c>
    </row>
    <row r="6" spans="1:6" x14ac:dyDescent="0.2">
      <c r="A6" s="1" t="s">
        <v>5</v>
      </c>
      <c r="B6">
        <f t="shared" si="0"/>
        <v>0.84073394411322266</v>
      </c>
      <c r="C6" s="5">
        <v>0.48199999999999998</v>
      </c>
      <c r="D6" s="2">
        <v>9724.1130099999991</v>
      </c>
      <c r="E6" s="2">
        <v>16961.393950000001</v>
      </c>
      <c r="F6">
        <f t="shared" si="1"/>
        <v>1.744261294840711</v>
      </c>
    </row>
    <row r="7" spans="1:6" x14ac:dyDescent="0.2">
      <c r="A7" s="1" t="s">
        <v>6</v>
      </c>
      <c r="B7">
        <f t="shared" si="0"/>
        <v>0.31571129432675221</v>
      </c>
      <c r="C7" s="5">
        <v>0.18099999999999999</v>
      </c>
      <c r="D7" s="2">
        <v>21899.914570000001</v>
      </c>
      <c r="E7" s="2">
        <v>38199.173340000001</v>
      </c>
      <c r="F7">
        <f t="shared" si="1"/>
        <v>1.7442612946229406</v>
      </c>
    </row>
    <row r="8" spans="1:6" x14ac:dyDescent="0.2">
      <c r="A8" s="1" t="s">
        <v>7</v>
      </c>
      <c r="B8">
        <f t="shared" si="0"/>
        <v>3.9854336758650684</v>
      </c>
      <c r="C8" s="5">
        <v>1.675</v>
      </c>
      <c r="D8" s="2">
        <v>98247.730809999994</v>
      </c>
      <c r="E8" s="2">
        <v>233767.05369999999</v>
      </c>
      <c r="F8">
        <f t="shared" si="1"/>
        <v>2.3793633885761603</v>
      </c>
    </row>
    <row r="9" spans="1:6" x14ac:dyDescent="0.2">
      <c r="A9" s="1" t="s">
        <v>8</v>
      </c>
      <c r="B9">
        <f t="shared" si="0"/>
        <v>5.5484951788405175</v>
      </c>
      <c r="C9" s="4">
        <v>3.181</v>
      </c>
      <c r="D9" s="2">
        <v>251601.09400000001</v>
      </c>
      <c r="E9" s="2">
        <v>438858.05</v>
      </c>
      <c r="F9">
        <f t="shared" si="1"/>
        <v>1.7442612948256893</v>
      </c>
    </row>
    <row r="10" spans="1:6" x14ac:dyDescent="0.2">
      <c r="A10" s="1" t="s">
        <v>9</v>
      </c>
      <c r="B10">
        <f t="shared" si="0"/>
        <v>30.352476689976694</v>
      </c>
      <c r="C10" s="5">
        <v>17.077000000000002</v>
      </c>
      <c r="D10" s="2">
        <v>199570.8</v>
      </c>
      <c r="E10" s="2">
        <v>354715</v>
      </c>
      <c r="F10">
        <f t="shared" si="1"/>
        <v>1.7773892773892774</v>
      </c>
    </row>
    <row r="11" spans="1:6" x14ac:dyDescent="0.2">
      <c r="A11" s="1" t="s">
        <v>10</v>
      </c>
      <c r="B11">
        <f t="shared" si="0"/>
        <v>0.10291141646097628</v>
      </c>
      <c r="C11" s="5">
        <v>5.8999999999999997E-2</v>
      </c>
      <c r="D11" s="2">
        <v>6363.3714030000001</v>
      </c>
      <c r="E11" s="2">
        <v>11099.382449999999</v>
      </c>
      <c r="F11">
        <f t="shared" si="1"/>
        <v>1.7442612959487505</v>
      </c>
    </row>
    <row r="12" spans="1:6" x14ac:dyDescent="0.2">
      <c r="A12" s="1" t="s">
        <v>11</v>
      </c>
      <c r="B12">
        <f t="shared" si="0"/>
        <v>9.6602487204368686</v>
      </c>
      <c r="C12" s="6">
        <v>5.9459999999999997</v>
      </c>
      <c r="D12">
        <v>252359.96200000035</v>
      </c>
      <c r="E12">
        <v>410000</v>
      </c>
      <c r="F12">
        <f t="shared" si="1"/>
        <v>1.6246634242241622</v>
      </c>
    </row>
    <row r="13" spans="1:6" x14ac:dyDescent="0.2">
      <c r="A13" s="1" t="s">
        <v>12</v>
      </c>
      <c r="B13">
        <f t="shared" si="0"/>
        <v>5.4050540979770544E-2</v>
      </c>
      <c r="C13" s="6">
        <v>2.4E-2</v>
      </c>
      <c r="D13">
        <v>338349.99000000086</v>
      </c>
      <c r="E13">
        <v>762000</v>
      </c>
      <c r="F13">
        <f t="shared" si="1"/>
        <v>2.2521058741571061</v>
      </c>
    </row>
    <row r="14" spans="1:6" x14ac:dyDescent="0.2">
      <c r="A14" s="1" t="s">
        <v>13</v>
      </c>
      <c r="B14">
        <f t="shared" si="0"/>
        <v>15.33495559471527</v>
      </c>
      <c r="C14" s="6">
        <v>5.6970000000000001</v>
      </c>
      <c r="D14">
        <v>1383110.0370000005</v>
      </c>
      <c r="E14">
        <v>3723000</v>
      </c>
      <c r="F14">
        <f t="shared" si="1"/>
        <v>2.6917598024776672</v>
      </c>
    </row>
    <row r="15" spans="1:6" x14ac:dyDescent="0.2">
      <c r="A15" s="1" t="s">
        <v>14</v>
      </c>
      <c r="B15" t="e">
        <f t="shared" si="0"/>
        <v>#DIV/0!</v>
      </c>
      <c r="C15" s="6">
        <v>5.3250000000000002</v>
      </c>
      <c r="F15" t="e">
        <f t="shared" si="1"/>
        <v>#DIV/0!</v>
      </c>
    </row>
    <row r="16" spans="1:6" x14ac:dyDescent="0.2">
      <c r="A16" s="1" t="s">
        <v>15</v>
      </c>
      <c r="B16">
        <f t="shared" si="0"/>
        <v>1.1432384444401182</v>
      </c>
      <c r="C16" s="5">
        <v>0.39400000000000002</v>
      </c>
      <c r="D16" s="3">
        <v>38785.309589999997</v>
      </c>
      <c r="E16" s="3">
        <v>112540.24619999999</v>
      </c>
      <c r="F16">
        <f t="shared" si="1"/>
        <v>2.9016204173607063</v>
      </c>
    </row>
    <row r="17" spans="1:6" x14ac:dyDescent="0.2">
      <c r="A17" s="1" t="s">
        <v>16</v>
      </c>
      <c r="B17">
        <f t="shared" si="0"/>
        <v>2.0891140255627385</v>
      </c>
      <c r="C17" s="5">
        <v>0.35799999999999998</v>
      </c>
      <c r="D17" s="3">
        <v>12811.225</v>
      </c>
      <c r="E17" s="3">
        <v>74760.083329999994</v>
      </c>
      <c r="F17">
        <f t="shared" si="1"/>
        <v>5.835514037884745</v>
      </c>
    </row>
    <row r="18" spans="1:6" x14ac:dyDescent="0.2">
      <c r="A18" s="1" t="s">
        <v>17</v>
      </c>
      <c r="B18">
        <f t="shared" si="0"/>
        <v>8.6777325726483809</v>
      </c>
      <c r="C18" s="5">
        <v>5.6639999999999997</v>
      </c>
      <c r="D18" s="3">
        <v>199532.0833</v>
      </c>
      <c r="E18" s="3">
        <v>305700.22220000002</v>
      </c>
      <c r="F18">
        <f t="shared" si="1"/>
        <v>1.5320855530805757</v>
      </c>
    </row>
    <row r="19" spans="1:6" x14ac:dyDescent="0.2">
      <c r="A19" s="1" t="s">
        <v>18</v>
      </c>
      <c r="B19">
        <f t="shared" si="0"/>
        <v>30.991244897084339</v>
      </c>
      <c r="C19" s="4">
        <v>27.045999999999999</v>
      </c>
      <c r="D19" s="3">
        <v>554700.31530000002</v>
      </c>
      <c r="E19" s="2">
        <v>635615.37069999997</v>
      </c>
      <c r="F19">
        <f t="shared" si="1"/>
        <v>1.1458716592873008</v>
      </c>
    </row>
    <row r="20" spans="1:6" x14ac:dyDescent="0.2">
      <c r="A20" s="1" t="s">
        <v>19</v>
      </c>
      <c r="B20">
        <f t="shared" si="0"/>
        <v>5.1706335842357589</v>
      </c>
      <c r="C20" s="5">
        <v>1.8360000000000001</v>
      </c>
      <c r="D20" s="3">
        <v>157013.86679999999</v>
      </c>
      <c r="E20" s="3">
        <v>442190.1813</v>
      </c>
      <c r="F20">
        <f t="shared" si="1"/>
        <v>2.816249228886579</v>
      </c>
    </row>
    <row r="21" spans="1:6" x14ac:dyDescent="0.2">
      <c r="A21" s="1" t="s">
        <v>20</v>
      </c>
      <c r="B21">
        <f t="shared" si="0"/>
        <v>0.71101360369325806</v>
      </c>
      <c r="C21" s="5">
        <v>0.112</v>
      </c>
      <c r="D21" s="3">
        <v>87774.542350000003</v>
      </c>
      <c r="E21" s="3">
        <v>557222.26489999995</v>
      </c>
      <c r="F21">
        <f t="shared" si="1"/>
        <v>6.3483357472612321</v>
      </c>
    </row>
    <row r="22" spans="1:6" x14ac:dyDescent="0.2">
      <c r="A22" s="1" t="s">
        <v>21</v>
      </c>
      <c r="B22">
        <f t="shared" si="0"/>
        <v>80.426588231103324</v>
      </c>
      <c r="C22" s="5">
        <v>37.448999999999998</v>
      </c>
      <c r="D22" s="3">
        <v>611887.15040000004</v>
      </c>
      <c r="E22" s="3">
        <v>1314107.0759999999</v>
      </c>
      <c r="F22">
        <f t="shared" si="1"/>
        <v>2.1476297960186743</v>
      </c>
    </row>
    <row r="23" spans="1:6" x14ac:dyDescent="0.2">
      <c r="A23" s="1" t="s">
        <v>22</v>
      </c>
      <c r="B23">
        <f t="shared" si="0"/>
        <v>1.513060402512187</v>
      </c>
      <c r="C23" s="4">
        <v>0.67600000000000005</v>
      </c>
      <c r="D23" s="3">
        <v>82643.941439999995</v>
      </c>
      <c r="E23" s="3">
        <v>184978.21789999999</v>
      </c>
      <c r="F23">
        <f t="shared" si="1"/>
        <v>2.2382550333020514</v>
      </c>
    </row>
    <row r="24" spans="1:6" x14ac:dyDescent="0.2">
      <c r="A24" s="1" t="s">
        <v>23</v>
      </c>
      <c r="B24">
        <f t="shared" si="0"/>
        <v>0.74475675667371566</v>
      </c>
      <c r="C24" s="5">
        <v>0.33200000000000002</v>
      </c>
      <c r="D24" s="3">
        <v>61591.063889999998</v>
      </c>
      <c r="E24" s="3">
        <v>138163.73790000001</v>
      </c>
      <c r="F24">
        <f t="shared" si="1"/>
        <v>2.2432432429931195</v>
      </c>
    </row>
    <row r="25" spans="1:6" x14ac:dyDescent="0.2">
      <c r="A25" s="1" t="s">
        <v>24</v>
      </c>
      <c r="B25">
        <f t="shared" si="0"/>
        <v>17.411058444736256</v>
      </c>
      <c r="C25" s="4">
        <v>8.3659999999999997</v>
      </c>
      <c r="D25" s="3">
        <v>84278.266539999997</v>
      </c>
      <c r="E25" s="2">
        <v>175397.3015</v>
      </c>
      <c r="F25">
        <f t="shared" si="1"/>
        <v>2.08116883154868</v>
      </c>
    </row>
    <row r="26" spans="1:6" x14ac:dyDescent="0.2">
      <c r="A26" s="1" t="s">
        <v>25</v>
      </c>
      <c r="B26">
        <f t="shared" si="0"/>
        <v>9.7946849576635682</v>
      </c>
      <c r="C26" s="6">
        <v>7.1379999999999999</v>
      </c>
      <c r="D26">
        <v>470051.87199999986</v>
      </c>
      <c r="E26">
        <v>645000</v>
      </c>
      <c r="F26">
        <f t="shared" si="1"/>
        <v>1.3721889825810547</v>
      </c>
    </row>
    <row r="27" spans="1:6" x14ac:dyDescent="0.2">
      <c r="A27" s="1" t="s">
        <v>26</v>
      </c>
      <c r="B27">
        <f t="shared" si="0"/>
        <v>441.97267229476751</v>
      </c>
      <c r="C27" s="6">
        <v>39.223999999999997</v>
      </c>
      <c r="D27">
        <v>81647.763000000356</v>
      </c>
      <c r="E27">
        <v>920000</v>
      </c>
      <c r="F27">
        <f t="shared" si="1"/>
        <v>11.267914345675289</v>
      </c>
    </row>
    <row r="28" spans="1:6" x14ac:dyDescent="0.2">
      <c r="A28" s="1" t="s">
        <v>27</v>
      </c>
      <c r="B28">
        <f t="shared" si="0"/>
        <v>33.172362873466113</v>
      </c>
      <c r="C28" s="6">
        <v>24.236999999999998</v>
      </c>
      <c r="D28">
        <v>4383830.0139999986</v>
      </c>
      <c r="E28">
        <v>6000000</v>
      </c>
      <c r="F28">
        <f t="shared" si="1"/>
        <v>1.3686662075944265</v>
      </c>
    </row>
    <row r="29" spans="1:6" x14ac:dyDescent="0.2">
      <c r="A29" s="1" t="s">
        <v>28</v>
      </c>
      <c r="B29">
        <f t="shared" si="0"/>
        <v>0.10976522549844003</v>
      </c>
      <c r="C29" s="6">
        <v>6.0999999999999999E-2</v>
      </c>
      <c r="D29">
        <v>1055889.9640000025</v>
      </c>
      <c r="E29">
        <v>1900000</v>
      </c>
      <c r="F29">
        <f t="shared" si="1"/>
        <v>1.799429926203935</v>
      </c>
    </row>
    <row r="30" spans="1:6" x14ac:dyDescent="0.2">
      <c r="A30" s="1" t="s">
        <v>29</v>
      </c>
      <c r="B30">
        <f t="shared" si="0"/>
        <v>86.75025986275962</v>
      </c>
      <c r="C30" s="6">
        <v>43.548999999999999</v>
      </c>
      <c r="D30">
        <v>5796141.185000075</v>
      </c>
      <c r="E30">
        <v>11546000</v>
      </c>
      <c r="F30">
        <f t="shared" si="1"/>
        <v>1.9920149684897386</v>
      </c>
    </row>
    <row r="31" spans="1:6" x14ac:dyDescent="0.2">
      <c r="A31" s="1" t="s">
        <v>30</v>
      </c>
      <c r="B31">
        <f t="shared" si="0"/>
        <v>0.6143678145779603</v>
      </c>
      <c r="C31" s="6">
        <v>0.25</v>
      </c>
      <c r="D31">
        <v>265720.30000000005</v>
      </c>
      <c r="E31">
        <v>653000</v>
      </c>
      <c r="F31">
        <f t="shared" si="1"/>
        <v>2.4574712583118412</v>
      </c>
    </row>
    <row r="32" spans="1:6" x14ac:dyDescent="0.2">
      <c r="A32" s="1" t="s">
        <v>31</v>
      </c>
      <c r="B32">
        <f t="shared" si="0"/>
        <v>45.747585201770271</v>
      </c>
      <c r="C32" s="6">
        <v>34.15</v>
      </c>
      <c r="D32">
        <v>1041350.0470000005</v>
      </c>
      <c r="E32">
        <v>1395000</v>
      </c>
      <c r="F32">
        <f t="shared" si="1"/>
        <v>1.3396071801396858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Sagastuy Breña</dc:creator>
  <cp:lastModifiedBy>Mónica Sagastuy Breña</cp:lastModifiedBy>
  <dcterms:created xsi:type="dcterms:W3CDTF">2025-05-02T12:07:28Z</dcterms:created>
  <dcterms:modified xsi:type="dcterms:W3CDTF">2025-06-19T11:40:15Z</dcterms:modified>
</cp:coreProperties>
</file>